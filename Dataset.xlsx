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31B7E0D0-E39B-4312-BB7D-11EF3733FEFA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Todos" sheetId="1" r:id="rId1"/>
    <sheet name="Zagueiro" sheetId="3" r:id="rId2"/>
    <sheet name="Meio-Campo" sheetId="2" r:id="rId3"/>
    <sheet name="Atacantes" sheetId="4" r:id="rId4"/>
    <sheet name="Goleir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AE2" i="3"/>
</calcChain>
</file>

<file path=xl/sharedStrings.xml><?xml version="1.0" encoding="utf-8"?>
<sst xmlns="http://schemas.openxmlformats.org/spreadsheetml/2006/main" count="404" uniqueCount="164">
  <si>
    <t>Jogador</t>
  </si>
  <si>
    <t>Posição</t>
  </si>
  <si>
    <t>Idade</t>
  </si>
  <si>
    <t>Perna boa</t>
  </si>
  <si>
    <t>Clube</t>
  </si>
  <si>
    <t>Endrick</t>
  </si>
  <si>
    <t>Atacante</t>
  </si>
  <si>
    <t>Canhoto</t>
  </si>
  <si>
    <t>Lyon</t>
  </si>
  <si>
    <t>G. Martinelli</t>
  </si>
  <si>
    <t xml:space="preserve">Atacante </t>
  </si>
  <si>
    <t>Destro</t>
  </si>
  <si>
    <t>Arsenal</t>
  </si>
  <si>
    <t>Igor Thiago</t>
  </si>
  <si>
    <t>Brentford</t>
  </si>
  <si>
    <t>João Pedro</t>
  </si>
  <si>
    <t>Chelsea</t>
  </si>
  <si>
    <t>Luiz henrique</t>
  </si>
  <si>
    <t>Zenit</t>
  </si>
  <si>
    <t>Matheus Cunha</t>
  </si>
  <si>
    <t>Man. United</t>
  </si>
  <si>
    <t>Raphinha</t>
  </si>
  <si>
    <t>Barcelona</t>
  </si>
  <si>
    <t>Rayan</t>
  </si>
  <si>
    <t>Bournemouth</t>
  </si>
  <si>
    <t>Vinicius Junior</t>
  </si>
  <si>
    <t>Real Madrid</t>
  </si>
  <si>
    <t>Andrey Santos</t>
  </si>
  <si>
    <t>Meio Campo</t>
  </si>
  <si>
    <t xml:space="preserve">Casemiro </t>
  </si>
  <si>
    <t>Danilo Oliveira</t>
  </si>
  <si>
    <t>Botafogo</t>
  </si>
  <si>
    <t xml:space="preserve">Fabinho </t>
  </si>
  <si>
    <t>Al-Ittihad</t>
  </si>
  <si>
    <t>Gabriel Sara</t>
  </si>
  <si>
    <t>Galatasaray</t>
  </si>
  <si>
    <t xml:space="preserve">Bremer </t>
  </si>
  <si>
    <t xml:space="preserve">Zagueiro </t>
  </si>
  <si>
    <t>Juventus</t>
  </si>
  <si>
    <t>Danilo Luiz</t>
  </si>
  <si>
    <t>Zagueiro</t>
  </si>
  <si>
    <t>Flamengo</t>
  </si>
  <si>
    <t>Douglas Santos</t>
  </si>
  <si>
    <t>Kaiki Bruno</t>
  </si>
  <si>
    <t>Cruzeiro</t>
  </si>
  <si>
    <t>Gabriel Magalhães</t>
  </si>
  <si>
    <t xml:space="preserve">Ibañez </t>
  </si>
  <si>
    <t>Al Ahli</t>
  </si>
  <si>
    <t>Léo Pereira</t>
  </si>
  <si>
    <t>Marquinhos</t>
  </si>
  <si>
    <t>PSG</t>
  </si>
  <si>
    <t xml:space="preserve">Wesley </t>
  </si>
  <si>
    <t>Roma</t>
  </si>
  <si>
    <t>Hugo Souza</t>
  </si>
  <si>
    <t>Goleiro</t>
  </si>
  <si>
    <t>Corinthians</t>
  </si>
  <si>
    <t xml:space="preserve">Bento </t>
  </si>
  <si>
    <t>Al-Nassr</t>
  </si>
  <si>
    <t xml:space="preserve">Ederson </t>
  </si>
  <si>
    <t>Fenerbahçe</t>
  </si>
  <si>
    <t>Alisson</t>
  </si>
  <si>
    <t>liverpool FC</t>
  </si>
  <si>
    <t>Éder Militão</t>
  </si>
  <si>
    <t>Fabrício Bruno</t>
  </si>
  <si>
    <t>Alexsandro</t>
  </si>
  <si>
    <t>Lille</t>
  </si>
  <si>
    <t>Alex Sandro</t>
  </si>
  <si>
    <t>Caio Henrique</t>
  </si>
  <si>
    <t>Monaco</t>
  </si>
  <si>
    <t>Vanderson</t>
  </si>
  <si>
    <t>Paulo Henrique</t>
  </si>
  <si>
    <t>Vasco</t>
  </si>
  <si>
    <t>Bruno Guimarães</t>
  </si>
  <si>
    <t>Newcastle</t>
  </si>
  <si>
    <t>Lucas Paquetá</t>
  </si>
  <si>
    <t>João Gomes</t>
  </si>
  <si>
    <t>Woverhampton</t>
  </si>
  <si>
    <t>Jean Lucas</t>
  </si>
  <si>
    <t>Bahia</t>
  </si>
  <si>
    <t>Joelinton</t>
  </si>
  <si>
    <t>Neymar</t>
  </si>
  <si>
    <t>Santos</t>
  </si>
  <si>
    <t>Richarlison</t>
  </si>
  <si>
    <t>Tottenham</t>
  </si>
  <si>
    <t>Estêvão</t>
  </si>
  <si>
    <t>Kaio Jorge</t>
  </si>
  <si>
    <t>Vitor Roque</t>
  </si>
  <si>
    <t>Palmeiras</t>
  </si>
  <si>
    <t>Antony</t>
  </si>
  <si>
    <t>Real betis</t>
  </si>
  <si>
    <t>Igor Jesus</t>
  </si>
  <si>
    <t>Forest</t>
  </si>
  <si>
    <t>Leo Ortiz</t>
  </si>
  <si>
    <t>Gerson</t>
  </si>
  <si>
    <t>Andreas Pereira</t>
  </si>
  <si>
    <t>Beraldo</t>
  </si>
  <si>
    <t>Carlos Augusto</t>
  </si>
  <si>
    <t>Inter de Milão</t>
  </si>
  <si>
    <t>Vitinho</t>
  </si>
  <si>
    <t>Luciano Juba</t>
  </si>
  <si>
    <t xml:space="preserve">Jogos </t>
  </si>
  <si>
    <t>Faltas</t>
  </si>
  <si>
    <t>Jogos na Seleção</t>
  </si>
  <si>
    <t>Cruzamentos</t>
  </si>
  <si>
    <t>Divididas</t>
  </si>
  <si>
    <t>Interceptações</t>
  </si>
  <si>
    <t>Ações Defensivas</t>
  </si>
  <si>
    <t>Zagueiro / Lateral</t>
  </si>
  <si>
    <t>Bremer</t>
  </si>
  <si>
    <t>Roger Ibañez</t>
  </si>
  <si>
    <t>Danilo</t>
  </si>
  <si>
    <t>Zagueiro/Lateral</t>
  </si>
  <si>
    <t>Lateral</t>
  </si>
  <si>
    <t>Wesley</t>
  </si>
  <si>
    <t>Kaiki</t>
  </si>
  <si>
    <t>Jogos</t>
  </si>
  <si>
    <t>Gols</t>
  </si>
  <si>
    <t>Assistências</t>
  </si>
  <si>
    <t>Divididas Certas</t>
  </si>
  <si>
    <t>MC</t>
  </si>
  <si>
    <t>Chelsa</t>
  </si>
  <si>
    <t>VOL</t>
  </si>
  <si>
    <t xml:space="preserve">Manchester United </t>
  </si>
  <si>
    <t xml:space="preserve">Notthinghan Forest </t>
  </si>
  <si>
    <t>Al-Lttihad</t>
  </si>
  <si>
    <t>MEI</t>
  </si>
  <si>
    <t>Norwich</t>
  </si>
  <si>
    <t>West Ham</t>
  </si>
  <si>
    <t>Wolves</t>
  </si>
  <si>
    <t>Fulham</t>
  </si>
  <si>
    <t>Dribles Certos/Jogo</t>
  </si>
  <si>
    <t>Desempenho em pênaltis (%)</t>
  </si>
  <si>
    <t>Gols na Seleção</t>
  </si>
  <si>
    <t>Centroavante</t>
  </si>
  <si>
    <t>2.8</t>
  </si>
  <si>
    <t>Ponta Esquerdo</t>
  </si>
  <si>
    <t>2.3</t>
  </si>
  <si>
    <t>1.2</t>
  </si>
  <si>
    <t>2.4</t>
  </si>
  <si>
    <t>Luiz Henrique</t>
  </si>
  <si>
    <t>Ponta Direito</t>
  </si>
  <si>
    <t>3.1</t>
  </si>
  <si>
    <t xml:space="preserve">Matheus Cunha </t>
  </si>
  <si>
    <t>2.2</t>
  </si>
  <si>
    <t>Manchester United</t>
  </si>
  <si>
    <t>2.5</t>
  </si>
  <si>
    <t>Bouremouth</t>
  </si>
  <si>
    <t>4.2</t>
  </si>
  <si>
    <t>3.5</t>
  </si>
  <si>
    <t xml:space="preserve">Santos </t>
  </si>
  <si>
    <t>1.1</t>
  </si>
  <si>
    <t>Estevão</t>
  </si>
  <si>
    <t>3.8</t>
  </si>
  <si>
    <t>1.5</t>
  </si>
  <si>
    <t>2.9</t>
  </si>
  <si>
    <t>Real Betis</t>
  </si>
  <si>
    <t>1.8</t>
  </si>
  <si>
    <t>Nottingham Forest</t>
  </si>
  <si>
    <t>Pênaltis agarrados</t>
  </si>
  <si>
    <t>Jogos sem sofrer gol</t>
  </si>
  <si>
    <t>Defesas/Jogo</t>
  </si>
  <si>
    <t>3.0</t>
  </si>
  <si>
    <t>3.2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</si>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</sst>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Border="1"/>
    <xf numFmtId="0" fontId="1" fillId="0" borderId="4" xfId="0" applyFont="1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opLeftCell="A49" workbookViewId="0">
      <selection activeCell="J46" sqref="J46"/>
    </sheetView>
  </sheetViews>
  <sheetFormatPr defaultRowHeight="15"/>
  <cols>
    <col min="1" max="1" width="17" bestFit="1" customWidth="1"/>
    <col min="2" max="2" width="20.7109375" customWidth="1"/>
    <col min="4" max="4" width="11.28515625" customWidth="1"/>
    <col min="5" max="5" width="12.5703125" customWidth="1"/>
    <col min="6" max="6" width="11.140625" bestFit="1" customWidth="1"/>
    <col min="7" max="7" width="11.28515625" bestFit="1" customWidth="1"/>
    <col min="8" max="8" width="12.42578125" bestFit="1" customWidth="1"/>
    <col min="9" max="9" width="18.42578125" bestFit="1" customWidth="1"/>
    <col min="10" max="10" width="13" bestFit="1" customWidth="1"/>
    <col min="11" max="11" width="12.140625" bestFit="1" customWidth="1"/>
  </cols>
  <sheetData>
    <row r="1" spans="1:6">
      <c r="A1" s="3" t="s">
        <v>0</v>
      </c>
      <c r="B1" s="3" t="s">
        <v>1</v>
      </c>
      <c r="C1" s="3" t="s">
        <v>2</v>
      </c>
      <c r="D1" s="7" t="s">
        <v>3</v>
      </c>
      <c r="E1" s="8" t="s">
        <v>4</v>
      </c>
      <c r="F1" s="5"/>
    </row>
    <row r="2" spans="1:6">
      <c r="A2" s="9" t="s">
        <v>5</v>
      </c>
      <c r="B2" s="9" t="s">
        <v>6</v>
      </c>
      <c r="C2" s="9">
        <v>19</v>
      </c>
      <c r="D2" s="2" t="s">
        <v>7</v>
      </c>
      <c r="E2" s="1" t="s">
        <v>8</v>
      </c>
    </row>
    <row r="3" spans="1:6">
      <c r="A3" s="9" t="s">
        <v>9</v>
      </c>
      <c r="B3" s="9" t="s">
        <v>10</v>
      </c>
      <c r="C3" s="9">
        <v>24</v>
      </c>
      <c r="D3" s="2" t="s">
        <v>11</v>
      </c>
      <c r="E3" s="1" t="s">
        <v>12</v>
      </c>
    </row>
    <row r="4" spans="1:6">
      <c r="A4" s="1" t="s">
        <v>13</v>
      </c>
      <c r="B4" s="1" t="s">
        <v>10</v>
      </c>
      <c r="C4" s="1">
        <v>24</v>
      </c>
      <c r="D4" s="2" t="s">
        <v>11</v>
      </c>
      <c r="E4" s="1" t="s">
        <v>14</v>
      </c>
    </row>
    <row r="5" spans="1:6">
      <c r="A5" s="1" t="s">
        <v>15</v>
      </c>
      <c r="B5" s="1" t="s">
        <v>6</v>
      </c>
      <c r="C5" s="1">
        <v>24</v>
      </c>
      <c r="D5" s="2" t="s">
        <v>11</v>
      </c>
      <c r="E5" s="1" t="s">
        <v>16</v>
      </c>
    </row>
    <row r="6" spans="1:6">
      <c r="A6" s="1" t="s">
        <v>17</v>
      </c>
      <c r="B6" s="1" t="s">
        <v>10</v>
      </c>
      <c r="C6" s="1">
        <v>25</v>
      </c>
      <c r="D6" s="2" t="s">
        <v>7</v>
      </c>
      <c r="E6" s="1" t="s">
        <v>18</v>
      </c>
    </row>
    <row r="7" spans="1:6">
      <c r="A7" s="1" t="s">
        <v>19</v>
      </c>
      <c r="B7" s="1" t="s">
        <v>10</v>
      </c>
      <c r="C7" s="1">
        <v>26</v>
      </c>
      <c r="D7" s="2" t="s">
        <v>11</v>
      </c>
      <c r="E7" s="1" t="s">
        <v>20</v>
      </c>
    </row>
    <row r="8" spans="1:6">
      <c r="A8" s="1" t="s">
        <v>21</v>
      </c>
      <c r="B8" s="1" t="s">
        <v>6</v>
      </c>
      <c r="C8" s="1">
        <v>29</v>
      </c>
      <c r="D8" s="2" t="s">
        <v>7</v>
      </c>
      <c r="E8" s="1" t="s">
        <v>22</v>
      </c>
    </row>
    <row r="9" spans="1:6">
      <c r="A9" s="1" t="s">
        <v>23</v>
      </c>
      <c r="B9" s="1" t="s">
        <v>6</v>
      </c>
      <c r="C9" s="1">
        <v>19</v>
      </c>
      <c r="D9" s="2" t="s">
        <v>7</v>
      </c>
      <c r="E9" s="1" t="s">
        <v>24</v>
      </c>
    </row>
    <row r="10" spans="1:6">
      <c r="A10" s="1" t="s">
        <v>25</v>
      </c>
      <c r="B10" s="1" t="s">
        <v>6</v>
      </c>
      <c r="C10" s="1">
        <v>25</v>
      </c>
      <c r="D10" s="2" t="s">
        <v>11</v>
      </c>
      <c r="E10" s="1" t="s">
        <v>26</v>
      </c>
    </row>
    <row r="11" spans="1:6">
      <c r="A11" s="1" t="s">
        <v>27</v>
      </c>
      <c r="B11" s="1" t="s">
        <v>28</v>
      </c>
      <c r="C11" s="1">
        <v>21</v>
      </c>
      <c r="D11" s="2" t="s">
        <v>11</v>
      </c>
      <c r="E11" s="1" t="s">
        <v>16</v>
      </c>
    </row>
    <row r="12" spans="1:6">
      <c r="A12" s="1" t="s">
        <v>29</v>
      </c>
      <c r="B12" s="1" t="s">
        <v>28</v>
      </c>
      <c r="C12" s="1">
        <v>34</v>
      </c>
      <c r="D12" s="2" t="s">
        <v>11</v>
      </c>
      <c r="E12" s="1" t="s">
        <v>20</v>
      </c>
    </row>
    <row r="13" spans="1:6">
      <c r="A13" s="1" t="s">
        <v>30</v>
      </c>
      <c r="B13" s="1" t="s">
        <v>28</v>
      </c>
      <c r="C13" s="1">
        <v>24</v>
      </c>
      <c r="D13" s="2" t="s">
        <v>11</v>
      </c>
      <c r="E13" s="1" t="s">
        <v>31</v>
      </c>
    </row>
    <row r="14" spans="1:6">
      <c r="A14" s="1" t="s">
        <v>32</v>
      </c>
      <c r="B14" s="1" t="s">
        <v>28</v>
      </c>
      <c r="C14" s="1">
        <v>32</v>
      </c>
      <c r="D14" s="2" t="s">
        <v>11</v>
      </c>
      <c r="E14" s="1" t="s">
        <v>33</v>
      </c>
    </row>
    <row r="15" spans="1:6">
      <c r="A15" s="1" t="s">
        <v>34</v>
      </c>
      <c r="B15" s="1" t="s">
        <v>28</v>
      </c>
      <c r="C15" s="1">
        <v>26</v>
      </c>
      <c r="D15" s="2" t="s">
        <v>7</v>
      </c>
      <c r="E15" s="1" t="s">
        <v>35</v>
      </c>
    </row>
    <row r="16" spans="1:6">
      <c r="A16" s="1" t="s">
        <v>36</v>
      </c>
      <c r="B16" s="1" t="s">
        <v>37</v>
      </c>
      <c r="C16" s="1">
        <v>29</v>
      </c>
      <c r="D16" s="2" t="s">
        <v>11</v>
      </c>
      <c r="E16" s="1" t="s">
        <v>38</v>
      </c>
    </row>
    <row r="17" spans="1:5">
      <c r="A17" s="1" t="s">
        <v>39</v>
      </c>
      <c r="B17" s="1" t="s">
        <v>40</v>
      </c>
      <c r="C17" s="1">
        <v>34</v>
      </c>
      <c r="D17" s="2" t="s">
        <v>11</v>
      </c>
      <c r="E17" s="1" t="s">
        <v>41</v>
      </c>
    </row>
    <row r="18" spans="1:5">
      <c r="A18" s="1" t="s">
        <v>42</v>
      </c>
      <c r="B18" s="1" t="s">
        <v>40</v>
      </c>
      <c r="C18" s="1">
        <v>32</v>
      </c>
      <c r="D18" s="2" t="s">
        <v>7</v>
      </c>
      <c r="E18" s="1" t="s">
        <v>18</v>
      </c>
    </row>
    <row r="19" spans="1:5">
      <c r="A19" s="1" t="s">
        <v>43</v>
      </c>
      <c r="B19" s="1" t="s">
        <v>40</v>
      </c>
      <c r="C19" s="1">
        <v>23</v>
      </c>
      <c r="D19" s="2" t="s">
        <v>7</v>
      </c>
      <c r="E19" s="1" t="s">
        <v>44</v>
      </c>
    </row>
    <row r="20" spans="1:5">
      <c r="A20" s="1" t="s">
        <v>45</v>
      </c>
      <c r="B20" s="1" t="s">
        <v>40</v>
      </c>
      <c r="C20" s="1">
        <v>28</v>
      </c>
      <c r="D20" s="2" t="s">
        <v>7</v>
      </c>
      <c r="E20" s="1" t="s">
        <v>12</v>
      </c>
    </row>
    <row r="21" spans="1:5">
      <c r="A21" s="1" t="s">
        <v>46</v>
      </c>
      <c r="B21" s="1" t="s">
        <v>40</v>
      </c>
      <c r="C21" s="1">
        <v>27</v>
      </c>
      <c r="D21" s="2" t="s">
        <v>11</v>
      </c>
      <c r="E21" s="1" t="s">
        <v>47</v>
      </c>
    </row>
    <row r="22" spans="1:5">
      <c r="A22" s="1" t="s">
        <v>48</v>
      </c>
      <c r="B22" s="1" t="s">
        <v>40</v>
      </c>
      <c r="C22" s="1">
        <v>30</v>
      </c>
      <c r="D22" s="2" t="s">
        <v>7</v>
      </c>
      <c r="E22" s="1" t="s">
        <v>41</v>
      </c>
    </row>
    <row r="23" spans="1:5">
      <c r="A23" s="1" t="s">
        <v>49</v>
      </c>
      <c r="B23" s="1" t="s">
        <v>37</v>
      </c>
      <c r="C23" s="1">
        <v>31</v>
      </c>
      <c r="D23" s="2" t="s">
        <v>11</v>
      </c>
      <c r="E23" s="1" t="s">
        <v>50</v>
      </c>
    </row>
    <row r="24" spans="1:5">
      <c r="A24" s="1" t="s">
        <v>51</v>
      </c>
      <c r="B24" s="1" t="s">
        <v>40</v>
      </c>
      <c r="C24" s="1">
        <v>22</v>
      </c>
      <c r="D24" s="2" t="s">
        <v>11</v>
      </c>
      <c r="E24" s="1" t="s">
        <v>52</v>
      </c>
    </row>
    <row r="25" spans="1:5">
      <c r="A25" s="1" t="s">
        <v>53</v>
      </c>
      <c r="B25" s="1" t="s">
        <v>54</v>
      </c>
      <c r="C25" s="1">
        <v>27</v>
      </c>
      <c r="D25" s="2" t="s">
        <v>11</v>
      </c>
      <c r="E25" s="1" t="s">
        <v>55</v>
      </c>
    </row>
    <row r="26" spans="1:5">
      <c r="A26" s="1" t="s">
        <v>56</v>
      </c>
      <c r="B26" s="1" t="s">
        <v>54</v>
      </c>
      <c r="C26" s="1">
        <v>26</v>
      </c>
      <c r="D26" s="2" t="s">
        <v>11</v>
      </c>
      <c r="E26" s="1" t="s">
        <v>57</v>
      </c>
    </row>
    <row r="27" spans="1:5">
      <c r="A27" s="8" t="s">
        <v>58</v>
      </c>
      <c r="B27" s="8" t="s">
        <v>54</v>
      </c>
      <c r="C27" s="8">
        <v>32</v>
      </c>
      <c r="D27" s="2" t="s">
        <v>7</v>
      </c>
      <c r="E27" s="8" t="s">
        <v>59</v>
      </c>
    </row>
    <row r="28" spans="1:5">
      <c r="A28" s="1" t="s">
        <v>60</v>
      </c>
      <c r="B28" s="1" t="s">
        <v>54</v>
      </c>
      <c r="C28" s="1">
        <v>33</v>
      </c>
      <c r="D28" s="1" t="s">
        <v>11</v>
      </c>
      <c r="E28" s="1" t="s">
        <v>61</v>
      </c>
    </row>
    <row r="29" spans="1:5">
      <c r="A29" s="9" t="s">
        <v>62</v>
      </c>
      <c r="B29" s="9" t="s">
        <v>40</v>
      </c>
      <c r="C29" s="9">
        <v>28</v>
      </c>
      <c r="D29" s="1" t="s">
        <v>11</v>
      </c>
      <c r="E29" s="9" t="s">
        <v>26</v>
      </c>
    </row>
    <row r="30" spans="1:5">
      <c r="A30" s="1" t="s">
        <v>63</v>
      </c>
      <c r="B30" s="1" t="s">
        <v>40</v>
      </c>
      <c r="C30" s="1">
        <v>30</v>
      </c>
      <c r="D30" s="1" t="s">
        <v>11</v>
      </c>
      <c r="E30" s="1" t="s">
        <v>44</v>
      </c>
    </row>
    <row r="31" spans="1:5">
      <c r="A31" s="1" t="s">
        <v>64</v>
      </c>
      <c r="B31" s="1" t="s">
        <v>40</v>
      </c>
      <c r="C31" s="1">
        <v>25</v>
      </c>
      <c r="D31" s="1" t="s">
        <v>7</v>
      </c>
      <c r="E31" s="1" t="s">
        <v>65</v>
      </c>
    </row>
    <row r="32" spans="1:5">
      <c r="A32" s="1" t="s">
        <v>66</v>
      </c>
      <c r="B32" s="1" t="s">
        <v>37</v>
      </c>
      <c r="C32" s="1">
        <v>35</v>
      </c>
      <c r="D32" s="1" t="s">
        <v>7</v>
      </c>
      <c r="E32" s="1" t="s">
        <v>41</v>
      </c>
    </row>
    <row r="33" spans="1:5">
      <c r="A33" s="1" t="s">
        <v>67</v>
      </c>
      <c r="B33" s="1" t="s">
        <v>40</v>
      </c>
      <c r="C33" s="1">
        <v>28</v>
      </c>
      <c r="D33" s="1" t="s">
        <v>7</v>
      </c>
      <c r="E33" s="1" t="s">
        <v>68</v>
      </c>
    </row>
    <row r="34" spans="1:5">
      <c r="A34" s="1" t="s">
        <v>69</v>
      </c>
      <c r="B34" s="1" t="s">
        <v>40</v>
      </c>
      <c r="C34" s="1">
        <v>24</v>
      </c>
      <c r="D34" s="1" t="s">
        <v>11</v>
      </c>
      <c r="E34" s="1" t="s">
        <v>68</v>
      </c>
    </row>
    <row r="35" spans="1:5">
      <c r="A35" s="1" t="s">
        <v>70</v>
      </c>
      <c r="B35" s="1" t="s">
        <v>37</v>
      </c>
      <c r="C35" s="1">
        <v>29</v>
      </c>
      <c r="D35" s="1" t="s">
        <v>11</v>
      </c>
      <c r="E35" s="1" t="s">
        <v>71</v>
      </c>
    </row>
    <row r="36" spans="1:5">
      <c r="A36" s="1" t="s">
        <v>72</v>
      </c>
      <c r="B36" s="1" t="s">
        <v>28</v>
      </c>
      <c r="C36" s="1">
        <v>28</v>
      </c>
      <c r="D36" s="1" t="s">
        <v>11</v>
      </c>
      <c r="E36" s="1" t="s">
        <v>73</v>
      </c>
    </row>
    <row r="37" spans="1:5">
      <c r="A37" s="1" t="s">
        <v>74</v>
      </c>
      <c r="B37" s="1" t="s">
        <v>28</v>
      </c>
      <c r="C37" s="1">
        <v>28</v>
      </c>
      <c r="D37" s="1" t="s">
        <v>7</v>
      </c>
      <c r="E37" s="1" t="s">
        <v>41</v>
      </c>
    </row>
    <row r="38" spans="1:5" ht="30.75">
      <c r="A38" s="1" t="s">
        <v>75</v>
      </c>
      <c r="B38" s="1" t="s">
        <v>28</v>
      </c>
      <c r="C38" s="1">
        <v>25</v>
      </c>
      <c r="D38" s="1" t="s">
        <v>11</v>
      </c>
      <c r="E38" s="13" t="s">
        <v>76</v>
      </c>
    </row>
    <row r="39" spans="1:5">
      <c r="A39" s="1" t="s">
        <v>77</v>
      </c>
      <c r="B39" s="1" t="s">
        <v>28</v>
      </c>
      <c r="C39" s="1">
        <v>27</v>
      </c>
      <c r="D39" s="1" t="s">
        <v>11</v>
      </c>
      <c r="E39" s="1" t="s">
        <v>78</v>
      </c>
    </row>
    <row r="40" spans="1:5">
      <c r="A40" s="1" t="s">
        <v>79</v>
      </c>
      <c r="B40" s="1" t="s">
        <v>28</v>
      </c>
      <c r="C40" s="1">
        <v>29</v>
      </c>
      <c r="D40" s="1" t="s">
        <v>11</v>
      </c>
      <c r="E40" s="1" t="s">
        <v>73</v>
      </c>
    </row>
    <row r="41" spans="1:5">
      <c r="A41" s="1" t="s">
        <v>80</v>
      </c>
      <c r="B41" s="1" t="s">
        <v>6</v>
      </c>
      <c r="C41" s="1">
        <v>34</v>
      </c>
      <c r="D41" s="1" t="s">
        <v>11</v>
      </c>
      <c r="E41" s="1" t="s">
        <v>81</v>
      </c>
    </row>
    <row r="42" spans="1:5">
      <c r="A42" s="1" t="s">
        <v>82</v>
      </c>
      <c r="B42" s="1" t="s">
        <v>6</v>
      </c>
      <c r="C42" s="1">
        <v>28</v>
      </c>
      <c r="D42" s="1" t="s">
        <v>11</v>
      </c>
      <c r="E42" s="1" t="s">
        <v>83</v>
      </c>
    </row>
    <row r="43" spans="1:5">
      <c r="A43" s="1" t="s">
        <v>84</v>
      </c>
      <c r="B43" s="1" t="s">
        <v>10</v>
      </c>
      <c r="C43" s="1">
        <v>18</v>
      </c>
      <c r="D43" s="1" t="s">
        <v>7</v>
      </c>
      <c r="E43" s="1" t="s">
        <v>16</v>
      </c>
    </row>
    <row r="44" spans="1:5">
      <c r="A44" s="1" t="s">
        <v>85</v>
      </c>
      <c r="B44" s="1" t="s">
        <v>6</v>
      </c>
      <c r="C44" s="1">
        <v>24</v>
      </c>
      <c r="D44" s="1" t="s">
        <v>11</v>
      </c>
      <c r="E44" s="1" t="s">
        <v>44</v>
      </c>
    </row>
    <row r="45" spans="1:5">
      <c r="A45" s="1" t="s">
        <v>86</v>
      </c>
      <c r="B45" s="1" t="s">
        <v>6</v>
      </c>
      <c r="C45" s="1">
        <v>21</v>
      </c>
      <c r="D45" s="1" t="s">
        <v>11</v>
      </c>
      <c r="E45" s="1" t="s">
        <v>87</v>
      </c>
    </row>
    <row r="46" spans="1:5">
      <c r="A46" s="1" t="s">
        <v>88</v>
      </c>
      <c r="B46" s="1" t="s">
        <v>6</v>
      </c>
      <c r="C46" s="1">
        <v>26</v>
      </c>
      <c r="D46" s="1" t="s">
        <v>7</v>
      </c>
      <c r="E46" s="1" t="s">
        <v>89</v>
      </c>
    </row>
    <row r="47" spans="1:5">
      <c r="A47" s="1" t="s">
        <v>90</v>
      </c>
      <c r="B47" s="1" t="s">
        <v>6</v>
      </c>
      <c r="C47" s="1">
        <v>25</v>
      </c>
      <c r="D47" s="1" t="s">
        <v>11</v>
      </c>
      <c r="E47" s="1" t="s">
        <v>91</v>
      </c>
    </row>
    <row r="48" spans="1:5">
      <c r="A48" s="1" t="s">
        <v>92</v>
      </c>
      <c r="B48" s="1" t="s">
        <v>40</v>
      </c>
      <c r="C48" s="1">
        <v>30</v>
      </c>
      <c r="D48" s="1" t="s">
        <v>11</v>
      </c>
      <c r="E48" s="1" t="s">
        <v>41</v>
      </c>
    </row>
    <row r="49" spans="1:5">
      <c r="A49" s="1" t="s">
        <v>93</v>
      </c>
      <c r="B49" s="1" t="s">
        <v>28</v>
      </c>
      <c r="C49" s="1">
        <v>28</v>
      </c>
      <c r="D49" s="1" t="s">
        <v>7</v>
      </c>
      <c r="E49" s="1" t="s">
        <v>44</v>
      </c>
    </row>
    <row r="50" spans="1:5">
      <c r="A50" s="1" t="s">
        <v>94</v>
      </c>
      <c r="B50" s="1" t="s">
        <v>28</v>
      </c>
      <c r="C50" s="1">
        <v>30</v>
      </c>
      <c r="D50" s="1" t="s">
        <v>11</v>
      </c>
      <c r="E50" s="1" t="s">
        <v>87</v>
      </c>
    </row>
    <row r="51" spans="1:5">
      <c r="A51" s="1" t="s">
        <v>95</v>
      </c>
      <c r="B51" s="1" t="s">
        <v>40</v>
      </c>
      <c r="C51" s="1">
        <v>22</v>
      </c>
      <c r="D51" s="1" t="s">
        <v>7</v>
      </c>
      <c r="E51" s="1" t="s">
        <v>50</v>
      </c>
    </row>
    <row r="52" spans="1:5" ht="30.75">
      <c r="A52" s="1" t="s">
        <v>96</v>
      </c>
      <c r="B52" s="1" t="s">
        <v>40</v>
      </c>
      <c r="C52" s="1">
        <v>27</v>
      </c>
      <c r="D52" s="1" t="s">
        <v>7</v>
      </c>
      <c r="E52" s="13" t="s">
        <v>97</v>
      </c>
    </row>
    <row r="53" spans="1:5">
      <c r="A53" s="1" t="s">
        <v>98</v>
      </c>
      <c r="B53" s="1" t="s">
        <v>37</v>
      </c>
      <c r="C53" s="1">
        <v>31</v>
      </c>
      <c r="D53" s="1" t="s">
        <v>11</v>
      </c>
      <c r="E53" s="1" t="s">
        <v>31</v>
      </c>
    </row>
    <row r="54" spans="1:5">
      <c r="A54" s="1" t="s">
        <v>99</v>
      </c>
      <c r="B54" s="1" t="s">
        <v>40</v>
      </c>
      <c r="C54" s="1">
        <v>26</v>
      </c>
      <c r="D54" s="1" t="s">
        <v>7</v>
      </c>
      <c r="E54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762B-3772-4050-809E-99C6281D77C8}">
  <dimension ref="A1:AE20"/>
  <sheetViews>
    <sheetView workbookViewId="0">
      <selection activeCell="K2" sqref="K2"/>
    </sheetView>
  </sheetViews>
  <sheetFormatPr defaultRowHeight="15"/>
  <cols>
    <col min="1" max="1" width="17" bestFit="1" customWidth="1"/>
    <col min="2" max="2" width="18.85546875" bestFit="1" customWidth="1"/>
    <col min="5" max="5" width="15.42578125" bestFit="1" customWidth="1"/>
    <col min="7" max="7" width="12.28515625" bestFit="1" customWidth="1"/>
    <col min="8" max="8" width="12.42578125" bestFit="1" customWidth="1"/>
    <col min="9" max="9" width="13.5703125" bestFit="1" customWidth="1"/>
    <col min="10" max="11" width="13.5703125" customWidth="1"/>
    <col min="12" max="12" width="13.7109375" style="10" customWidth="1"/>
    <col min="13" max="13" width="14.7109375" bestFit="1" customWidth="1"/>
    <col min="15" max="15" width="12.28515625" bestFit="1" customWidth="1"/>
  </cols>
  <sheetData>
    <row r="1" spans="1:31" ht="30.75">
      <c r="A1" s="3" t="s">
        <v>0</v>
      </c>
      <c r="B1" s="3" t="s">
        <v>1</v>
      </c>
      <c r="C1" s="3" t="s">
        <v>100</v>
      </c>
      <c r="D1" s="3" t="s">
        <v>101</v>
      </c>
      <c r="E1" s="4" t="s">
        <v>102</v>
      </c>
      <c r="F1" s="3" t="s">
        <v>2</v>
      </c>
      <c r="G1" s="3" t="s">
        <v>103</v>
      </c>
      <c r="H1" s="4" t="s">
        <v>104</v>
      </c>
      <c r="I1" s="3" t="s">
        <v>105</v>
      </c>
      <c r="J1" s="11" t="s">
        <v>106</v>
      </c>
      <c r="K1" s="5"/>
    </row>
    <row r="2" spans="1:31">
      <c r="A2" t="s">
        <v>49</v>
      </c>
      <c r="B2" t="s">
        <v>40</v>
      </c>
      <c r="C2">
        <v>151</v>
      </c>
      <c r="D2">
        <v>42</v>
      </c>
      <c r="E2">
        <v>101</v>
      </c>
      <c r="F2">
        <v>31</v>
      </c>
      <c r="G2">
        <v>7</v>
      </c>
      <c r="H2">
        <v>117</v>
      </c>
      <c r="I2">
        <v>99</v>
      </c>
      <c r="J2" s="11">
        <f t="shared" ref="J2:J20" si="0">SUM(D2, H2, I2)</f>
        <v>258</v>
      </c>
      <c r="AE2">
        <f>SUM(J1)</f>
        <v>0</v>
      </c>
    </row>
    <row r="3" spans="1:31">
      <c r="A3" t="s">
        <v>45</v>
      </c>
      <c r="B3" t="s">
        <v>40</v>
      </c>
      <c r="C3">
        <v>178</v>
      </c>
      <c r="D3">
        <v>139</v>
      </c>
      <c r="E3">
        <v>17</v>
      </c>
      <c r="F3">
        <v>28</v>
      </c>
      <c r="G3">
        <v>30</v>
      </c>
      <c r="H3">
        <v>118</v>
      </c>
      <c r="I3">
        <v>119</v>
      </c>
      <c r="J3" s="11">
        <f t="shared" si="0"/>
        <v>376</v>
      </c>
    </row>
    <row r="4" spans="1:31">
      <c r="A4" t="s">
        <v>62</v>
      </c>
      <c r="B4" t="s">
        <v>107</v>
      </c>
      <c r="C4">
        <v>98</v>
      </c>
      <c r="D4">
        <v>106</v>
      </c>
      <c r="E4">
        <v>38</v>
      </c>
      <c r="F4">
        <v>28</v>
      </c>
      <c r="G4">
        <v>24</v>
      </c>
      <c r="H4">
        <v>85</v>
      </c>
      <c r="I4">
        <v>102</v>
      </c>
      <c r="J4" s="11">
        <f t="shared" si="0"/>
        <v>293</v>
      </c>
    </row>
    <row r="5" spans="1:31">
      <c r="A5" t="s">
        <v>63</v>
      </c>
      <c r="B5" t="s">
        <v>40</v>
      </c>
      <c r="C5">
        <v>122</v>
      </c>
      <c r="D5">
        <v>63</v>
      </c>
      <c r="E5">
        <v>6</v>
      </c>
      <c r="F5">
        <v>30</v>
      </c>
      <c r="G5">
        <v>34</v>
      </c>
      <c r="H5">
        <v>98</v>
      </c>
      <c r="I5">
        <v>75</v>
      </c>
      <c r="J5" s="11">
        <f t="shared" si="0"/>
        <v>236</v>
      </c>
    </row>
    <row r="6" spans="1:31">
      <c r="A6" t="s">
        <v>64</v>
      </c>
      <c r="B6" t="s">
        <v>40</v>
      </c>
      <c r="C6">
        <v>116</v>
      </c>
      <c r="D6">
        <v>81</v>
      </c>
      <c r="E6">
        <v>3</v>
      </c>
      <c r="F6">
        <v>26</v>
      </c>
      <c r="G6">
        <v>16</v>
      </c>
      <c r="H6">
        <v>70</v>
      </c>
      <c r="I6">
        <v>98</v>
      </c>
      <c r="J6" s="11">
        <f t="shared" si="0"/>
        <v>249</v>
      </c>
    </row>
    <row r="7" spans="1:31">
      <c r="A7" t="s">
        <v>108</v>
      </c>
      <c r="B7" t="s">
        <v>40</v>
      </c>
      <c r="C7">
        <v>115</v>
      </c>
      <c r="D7">
        <v>148</v>
      </c>
      <c r="E7">
        <v>5</v>
      </c>
      <c r="F7">
        <v>26</v>
      </c>
      <c r="G7">
        <v>4</v>
      </c>
      <c r="H7">
        <v>104</v>
      </c>
      <c r="I7">
        <v>125</v>
      </c>
      <c r="J7" s="11">
        <f t="shared" si="0"/>
        <v>377</v>
      </c>
    </row>
    <row r="8" spans="1:31">
      <c r="A8" t="s">
        <v>48</v>
      </c>
      <c r="B8" t="s">
        <v>40</v>
      </c>
      <c r="C8">
        <v>117</v>
      </c>
      <c r="D8">
        <v>95</v>
      </c>
      <c r="E8">
        <v>1</v>
      </c>
      <c r="F8">
        <v>30</v>
      </c>
      <c r="G8">
        <v>67</v>
      </c>
      <c r="H8">
        <v>96</v>
      </c>
      <c r="I8">
        <v>92</v>
      </c>
      <c r="J8" s="11">
        <f t="shared" si="0"/>
        <v>283</v>
      </c>
    </row>
    <row r="9" spans="1:31">
      <c r="A9" t="s">
        <v>109</v>
      </c>
      <c r="B9" t="s">
        <v>40</v>
      </c>
      <c r="C9">
        <v>131</v>
      </c>
      <c r="D9">
        <v>172</v>
      </c>
      <c r="E9">
        <v>3</v>
      </c>
      <c r="F9">
        <v>27</v>
      </c>
      <c r="G9">
        <v>14</v>
      </c>
      <c r="H9">
        <v>159</v>
      </c>
      <c r="I9">
        <v>251</v>
      </c>
      <c r="J9" s="11">
        <f t="shared" si="0"/>
        <v>582</v>
      </c>
    </row>
    <row r="10" spans="1:31">
      <c r="A10" t="s">
        <v>110</v>
      </c>
      <c r="B10" t="s">
        <v>111</v>
      </c>
      <c r="C10">
        <v>131</v>
      </c>
      <c r="D10">
        <v>112</v>
      </c>
      <c r="E10">
        <v>59</v>
      </c>
      <c r="F10">
        <v>34</v>
      </c>
      <c r="G10">
        <v>69</v>
      </c>
      <c r="H10">
        <v>153</v>
      </c>
      <c r="I10">
        <v>107</v>
      </c>
      <c r="J10" s="11">
        <f t="shared" si="0"/>
        <v>372</v>
      </c>
    </row>
    <row r="11" spans="1:31">
      <c r="A11" t="s">
        <v>66</v>
      </c>
      <c r="B11" t="s">
        <v>112</v>
      </c>
      <c r="C11">
        <v>104</v>
      </c>
      <c r="D11">
        <v>152</v>
      </c>
      <c r="E11">
        <v>37</v>
      </c>
      <c r="F11">
        <v>35</v>
      </c>
      <c r="G11">
        <v>126</v>
      </c>
      <c r="H11">
        <v>71</v>
      </c>
      <c r="I11">
        <v>86</v>
      </c>
      <c r="J11" s="11">
        <f t="shared" si="0"/>
        <v>309</v>
      </c>
    </row>
    <row r="12" spans="1:31">
      <c r="A12" t="s">
        <v>67</v>
      </c>
      <c r="B12" t="s">
        <v>112</v>
      </c>
      <c r="C12">
        <v>124</v>
      </c>
      <c r="D12">
        <v>58</v>
      </c>
      <c r="E12">
        <v>5</v>
      </c>
      <c r="F12">
        <v>28</v>
      </c>
      <c r="G12">
        <v>549</v>
      </c>
      <c r="H12">
        <v>131</v>
      </c>
      <c r="I12">
        <v>101</v>
      </c>
      <c r="J12" s="11">
        <f t="shared" si="0"/>
        <v>290</v>
      </c>
    </row>
    <row r="13" spans="1:31">
      <c r="A13" t="s">
        <v>42</v>
      </c>
      <c r="B13" t="s">
        <v>112</v>
      </c>
      <c r="C13">
        <v>99</v>
      </c>
      <c r="D13">
        <v>44</v>
      </c>
      <c r="E13">
        <v>3</v>
      </c>
      <c r="F13">
        <v>32</v>
      </c>
      <c r="G13">
        <v>506</v>
      </c>
      <c r="H13">
        <v>129</v>
      </c>
      <c r="I13">
        <v>107</v>
      </c>
      <c r="J13" s="11">
        <f t="shared" si="0"/>
        <v>280</v>
      </c>
    </row>
    <row r="14" spans="1:31">
      <c r="A14" t="s">
        <v>113</v>
      </c>
      <c r="B14" t="s">
        <v>112</v>
      </c>
      <c r="C14">
        <v>131</v>
      </c>
      <c r="D14">
        <v>161</v>
      </c>
      <c r="E14">
        <v>5</v>
      </c>
      <c r="F14">
        <v>22</v>
      </c>
      <c r="G14">
        <v>347</v>
      </c>
      <c r="H14">
        <v>208</v>
      </c>
      <c r="I14">
        <v>134</v>
      </c>
      <c r="J14" s="11">
        <f t="shared" si="0"/>
        <v>503</v>
      </c>
    </row>
    <row r="15" spans="1:31">
      <c r="A15" t="s">
        <v>69</v>
      </c>
      <c r="B15" t="s">
        <v>112</v>
      </c>
      <c r="C15">
        <v>124</v>
      </c>
      <c r="D15">
        <v>159</v>
      </c>
      <c r="E15">
        <v>7</v>
      </c>
      <c r="F15">
        <v>24</v>
      </c>
      <c r="G15">
        <v>342</v>
      </c>
      <c r="H15">
        <v>206</v>
      </c>
      <c r="I15">
        <v>175</v>
      </c>
      <c r="J15" s="11">
        <f t="shared" si="0"/>
        <v>540</v>
      </c>
    </row>
    <row r="16" spans="1:31">
      <c r="A16" t="s">
        <v>70</v>
      </c>
      <c r="B16" t="s">
        <v>112</v>
      </c>
      <c r="C16">
        <v>91</v>
      </c>
      <c r="D16">
        <v>131</v>
      </c>
      <c r="E16">
        <v>2</v>
      </c>
      <c r="F16">
        <v>29</v>
      </c>
      <c r="G16">
        <v>275</v>
      </c>
      <c r="H16">
        <v>150</v>
      </c>
      <c r="I16">
        <v>112</v>
      </c>
      <c r="J16" s="11">
        <f t="shared" si="0"/>
        <v>393</v>
      </c>
    </row>
    <row r="17" spans="1:10">
      <c r="A17" t="s">
        <v>114</v>
      </c>
      <c r="B17" t="s">
        <v>112</v>
      </c>
      <c r="C17">
        <v>74</v>
      </c>
      <c r="D17">
        <v>113</v>
      </c>
      <c r="E17">
        <v>0</v>
      </c>
      <c r="F17">
        <v>23</v>
      </c>
      <c r="G17">
        <v>139</v>
      </c>
      <c r="H17">
        <v>127</v>
      </c>
      <c r="I17">
        <v>82</v>
      </c>
      <c r="J17" s="11">
        <f t="shared" si="0"/>
        <v>322</v>
      </c>
    </row>
    <row r="18" spans="1:10">
      <c r="A18" t="s">
        <v>98</v>
      </c>
      <c r="B18" t="s">
        <v>112</v>
      </c>
      <c r="C18">
        <v>151</v>
      </c>
      <c r="D18">
        <v>122</v>
      </c>
      <c r="E18">
        <v>2</v>
      </c>
      <c r="F18">
        <v>26</v>
      </c>
      <c r="G18">
        <v>344</v>
      </c>
      <c r="H18">
        <v>159</v>
      </c>
      <c r="I18">
        <v>75</v>
      </c>
      <c r="J18" s="11">
        <f t="shared" si="0"/>
        <v>356</v>
      </c>
    </row>
    <row r="19" spans="1:10">
      <c r="A19" t="s">
        <v>96</v>
      </c>
      <c r="B19" t="s">
        <v>112</v>
      </c>
      <c r="C19">
        <v>133</v>
      </c>
      <c r="D19">
        <v>72</v>
      </c>
      <c r="E19">
        <v>4</v>
      </c>
      <c r="F19">
        <v>27</v>
      </c>
      <c r="G19">
        <v>152</v>
      </c>
      <c r="H19">
        <v>78</v>
      </c>
      <c r="I19">
        <v>54</v>
      </c>
      <c r="J19" s="11">
        <f t="shared" si="0"/>
        <v>204</v>
      </c>
    </row>
    <row r="20" spans="1:10">
      <c r="A20" t="s">
        <v>99</v>
      </c>
      <c r="B20" t="s">
        <v>112</v>
      </c>
      <c r="C20">
        <v>101</v>
      </c>
      <c r="D20">
        <v>44</v>
      </c>
      <c r="E20">
        <v>0</v>
      </c>
      <c r="F20">
        <v>26</v>
      </c>
      <c r="G20">
        <v>357</v>
      </c>
      <c r="H20">
        <v>80</v>
      </c>
      <c r="I20">
        <v>121</v>
      </c>
      <c r="J20" s="11">
        <f t="shared" si="0"/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16DE-B5CB-4658-8E5B-3743D06821AE}">
  <dimension ref="A1:L13"/>
  <sheetViews>
    <sheetView workbookViewId="0">
      <selection activeCell="F16" sqref="F16"/>
    </sheetView>
  </sheetViews>
  <sheetFormatPr defaultRowHeight="15"/>
  <cols>
    <col min="1" max="1" width="17" customWidth="1"/>
    <col min="5" max="5" width="15.5703125" customWidth="1"/>
    <col min="7" max="7" width="11.140625" bestFit="1" customWidth="1"/>
    <col min="9" max="9" width="23.7109375" customWidth="1"/>
    <col min="10" max="10" width="12.28515625" bestFit="1" customWidth="1"/>
    <col min="11" max="11" width="13.7109375" bestFit="1" customWidth="1"/>
    <col min="12" max="12" width="19.42578125" bestFit="1" customWidth="1"/>
  </cols>
  <sheetData>
    <row r="1" spans="1:12">
      <c r="A1" s="3" t="s">
        <v>0</v>
      </c>
      <c r="B1" s="3" t="s">
        <v>1</v>
      </c>
      <c r="C1" s="3" t="s">
        <v>115</v>
      </c>
      <c r="D1" s="3" t="s">
        <v>116</v>
      </c>
      <c r="E1" s="4" t="s">
        <v>102</v>
      </c>
      <c r="F1" s="3" t="s">
        <v>2</v>
      </c>
      <c r="G1" s="3" t="s">
        <v>117</v>
      </c>
      <c r="H1" s="4" t="s">
        <v>101</v>
      </c>
      <c r="I1" s="3" t="s">
        <v>4</v>
      </c>
      <c r="J1" t="s">
        <v>103</v>
      </c>
      <c r="K1" t="s">
        <v>105</v>
      </c>
      <c r="L1" t="s">
        <v>118</v>
      </c>
    </row>
    <row r="2" spans="1:12">
      <c r="A2" t="s">
        <v>27</v>
      </c>
      <c r="B2" t="s">
        <v>119</v>
      </c>
      <c r="C2">
        <v>65</v>
      </c>
      <c r="D2">
        <v>8</v>
      </c>
      <c r="E2">
        <v>5</v>
      </c>
      <c r="F2">
        <v>21</v>
      </c>
      <c r="G2">
        <v>5</v>
      </c>
      <c r="H2">
        <v>40</v>
      </c>
      <c r="I2" t="s">
        <v>120</v>
      </c>
      <c r="J2">
        <v>28</v>
      </c>
      <c r="K2">
        <v>80</v>
      </c>
      <c r="L2">
        <v>90</v>
      </c>
    </row>
    <row r="3" spans="1:12">
      <c r="A3" t="s">
        <v>29</v>
      </c>
      <c r="B3" t="s">
        <v>121</v>
      </c>
      <c r="C3">
        <v>170</v>
      </c>
      <c r="D3">
        <v>15</v>
      </c>
      <c r="E3">
        <v>77</v>
      </c>
      <c r="F3">
        <v>34</v>
      </c>
      <c r="G3">
        <v>10</v>
      </c>
      <c r="H3">
        <v>200</v>
      </c>
      <c r="I3" t="s">
        <v>122</v>
      </c>
      <c r="J3">
        <v>55</v>
      </c>
      <c r="K3">
        <v>210</v>
      </c>
      <c r="L3">
        <v>250</v>
      </c>
    </row>
    <row r="4" spans="1:12">
      <c r="A4" t="s">
        <v>30</v>
      </c>
      <c r="B4" t="s">
        <v>119</v>
      </c>
      <c r="C4">
        <v>135</v>
      </c>
      <c r="D4">
        <v>9</v>
      </c>
      <c r="E4">
        <v>1</v>
      </c>
      <c r="F4">
        <v>23</v>
      </c>
      <c r="G4">
        <v>7</v>
      </c>
      <c r="H4">
        <v>115</v>
      </c>
      <c r="I4" t="s">
        <v>123</v>
      </c>
      <c r="J4">
        <v>85</v>
      </c>
      <c r="K4">
        <v>140</v>
      </c>
      <c r="L4">
        <v>170</v>
      </c>
    </row>
    <row r="5" spans="1:12">
      <c r="A5" t="s">
        <v>32</v>
      </c>
      <c r="B5" t="s">
        <v>121</v>
      </c>
      <c r="C5">
        <v>160</v>
      </c>
      <c r="D5">
        <v>10</v>
      </c>
      <c r="E5">
        <v>29</v>
      </c>
      <c r="F5">
        <v>31</v>
      </c>
      <c r="G5">
        <v>8</v>
      </c>
      <c r="H5">
        <v>190</v>
      </c>
      <c r="I5" t="s">
        <v>124</v>
      </c>
      <c r="J5">
        <v>65</v>
      </c>
      <c r="K5">
        <v>190</v>
      </c>
      <c r="L5">
        <v>220</v>
      </c>
    </row>
    <row r="6" spans="1:12">
      <c r="A6" t="s">
        <v>34</v>
      </c>
      <c r="B6" t="s">
        <v>125</v>
      </c>
      <c r="C6">
        <v>155</v>
      </c>
      <c r="D6">
        <v>24</v>
      </c>
      <c r="E6">
        <v>1</v>
      </c>
      <c r="F6">
        <v>26</v>
      </c>
      <c r="G6">
        <v>28</v>
      </c>
      <c r="H6">
        <v>105</v>
      </c>
      <c r="I6" t="s">
        <v>126</v>
      </c>
      <c r="J6">
        <v>210</v>
      </c>
      <c r="K6">
        <v>115</v>
      </c>
      <c r="L6">
        <v>130</v>
      </c>
    </row>
    <row r="7" spans="1:12">
      <c r="A7" t="s">
        <v>72</v>
      </c>
      <c r="B7" t="s">
        <v>119</v>
      </c>
      <c r="C7">
        <v>175</v>
      </c>
      <c r="D7">
        <v>20</v>
      </c>
      <c r="E7">
        <v>41</v>
      </c>
      <c r="F7">
        <v>28</v>
      </c>
      <c r="G7">
        <v>18</v>
      </c>
      <c r="H7">
        <v>150</v>
      </c>
      <c r="I7" t="s">
        <v>73</v>
      </c>
      <c r="J7">
        <v>130</v>
      </c>
      <c r="K7">
        <v>170</v>
      </c>
      <c r="L7">
        <v>200</v>
      </c>
    </row>
    <row r="8" spans="1:12">
      <c r="A8" t="s">
        <v>74</v>
      </c>
      <c r="B8" t="s">
        <v>125</v>
      </c>
      <c r="C8">
        <v>165</v>
      </c>
      <c r="D8">
        <v>28</v>
      </c>
      <c r="E8">
        <v>61</v>
      </c>
      <c r="F8">
        <v>28</v>
      </c>
      <c r="G8">
        <v>22</v>
      </c>
      <c r="H8">
        <v>140</v>
      </c>
      <c r="I8" t="s">
        <v>127</v>
      </c>
      <c r="J8">
        <v>170</v>
      </c>
      <c r="K8">
        <v>130</v>
      </c>
      <c r="L8">
        <v>150</v>
      </c>
    </row>
    <row r="9" spans="1:12">
      <c r="A9" t="s">
        <v>75</v>
      </c>
      <c r="B9" t="s">
        <v>121</v>
      </c>
      <c r="C9">
        <v>140</v>
      </c>
      <c r="D9">
        <v>6</v>
      </c>
      <c r="E9">
        <v>10</v>
      </c>
      <c r="F9">
        <v>24</v>
      </c>
      <c r="G9">
        <v>5</v>
      </c>
      <c r="H9">
        <v>160</v>
      </c>
      <c r="I9" t="s">
        <v>128</v>
      </c>
      <c r="J9">
        <v>75</v>
      </c>
      <c r="K9">
        <v>180</v>
      </c>
      <c r="L9">
        <v>210</v>
      </c>
    </row>
    <row r="10" spans="1:12">
      <c r="A10" t="s">
        <v>77</v>
      </c>
      <c r="B10" t="s">
        <v>121</v>
      </c>
      <c r="C10">
        <v>125</v>
      </c>
      <c r="D10">
        <v>8</v>
      </c>
      <c r="E10">
        <v>1</v>
      </c>
      <c r="F10">
        <v>26</v>
      </c>
      <c r="G10">
        <v>6</v>
      </c>
      <c r="H10">
        <v>130</v>
      </c>
      <c r="I10" t="s">
        <v>81</v>
      </c>
      <c r="J10">
        <v>70</v>
      </c>
      <c r="K10">
        <v>150</v>
      </c>
      <c r="L10">
        <v>170</v>
      </c>
    </row>
    <row r="11" spans="1:12">
      <c r="A11" t="s">
        <v>79</v>
      </c>
      <c r="B11" t="s">
        <v>119</v>
      </c>
      <c r="C11">
        <v>180</v>
      </c>
      <c r="D11">
        <v>30</v>
      </c>
      <c r="E11">
        <v>8</v>
      </c>
      <c r="F11">
        <v>29</v>
      </c>
      <c r="G11">
        <v>15</v>
      </c>
      <c r="H11">
        <v>210</v>
      </c>
      <c r="I11" t="s">
        <v>73</v>
      </c>
      <c r="J11">
        <v>95</v>
      </c>
      <c r="K11">
        <v>190</v>
      </c>
      <c r="L11">
        <v>250</v>
      </c>
    </row>
    <row r="12" spans="1:12">
      <c r="A12" s="1" t="s">
        <v>93</v>
      </c>
      <c r="B12" t="s">
        <v>119</v>
      </c>
      <c r="C12">
        <v>145</v>
      </c>
      <c r="D12">
        <v>15</v>
      </c>
      <c r="E12">
        <v>14</v>
      </c>
      <c r="F12">
        <v>28</v>
      </c>
      <c r="G12">
        <v>18</v>
      </c>
      <c r="H12">
        <v>120</v>
      </c>
      <c r="I12" t="s">
        <v>41</v>
      </c>
      <c r="J12">
        <v>140</v>
      </c>
      <c r="K12">
        <v>130</v>
      </c>
      <c r="L12">
        <v>160</v>
      </c>
    </row>
    <row r="13" spans="1:12">
      <c r="A13" s="1" t="s">
        <v>94</v>
      </c>
      <c r="B13" t="s">
        <v>125</v>
      </c>
      <c r="C13">
        <v>170</v>
      </c>
      <c r="D13">
        <v>25</v>
      </c>
      <c r="E13">
        <v>10</v>
      </c>
      <c r="F13">
        <v>29</v>
      </c>
      <c r="G13">
        <v>30</v>
      </c>
      <c r="H13">
        <v>130</v>
      </c>
      <c r="I13" t="s">
        <v>129</v>
      </c>
      <c r="J13">
        <v>190</v>
      </c>
      <c r="K13">
        <v>120</v>
      </c>
      <c r="L13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B05-4FA4-4D96-B766-C7A01AE4B124}">
  <dimension ref="A1:O16"/>
  <sheetViews>
    <sheetView workbookViewId="0">
      <selection activeCell="G7" sqref="G7"/>
    </sheetView>
  </sheetViews>
  <sheetFormatPr defaultRowHeight="15"/>
  <cols>
    <col min="1" max="1" width="36.5703125" bestFit="1" customWidth="1"/>
    <col min="2" max="2" width="14.7109375" bestFit="1" customWidth="1"/>
    <col min="5" max="5" width="15.42578125" bestFit="1" customWidth="1"/>
    <col min="7" max="7" width="10.7109375" customWidth="1"/>
    <col min="8" max="9" width="17.7109375" bestFit="1" customWidth="1"/>
    <col min="10" max="10" width="26.42578125" bestFit="1" customWidth="1"/>
    <col min="11" max="11" width="14.42578125" bestFit="1" customWidth="1"/>
  </cols>
  <sheetData>
    <row r="1" spans="1:15">
      <c r="A1" s="3" t="s">
        <v>0</v>
      </c>
      <c r="B1" s="3" t="s">
        <v>1</v>
      </c>
      <c r="C1" s="3" t="s">
        <v>115</v>
      </c>
      <c r="D1" s="3" t="s">
        <v>116</v>
      </c>
      <c r="E1" s="3" t="s">
        <v>102</v>
      </c>
      <c r="F1" s="3" t="s">
        <v>2</v>
      </c>
      <c r="G1" s="3" t="s">
        <v>117</v>
      </c>
      <c r="H1" s="3" t="s">
        <v>130</v>
      </c>
      <c r="I1" s="3" t="s">
        <v>4</v>
      </c>
      <c r="J1" s="1" t="s">
        <v>131</v>
      </c>
      <c r="K1" t="s">
        <v>132</v>
      </c>
    </row>
    <row r="2" spans="1:15">
      <c r="A2" t="s">
        <v>5</v>
      </c>
      <c r="B2" t="s">
        <v>133</v>
      </c>
      <c r="C2">
        <v>108</v>
      </c>
      <c r="D2">
        <v>30</v>
      </c>
      <c r="E2">
        <v>14</v>
      </c>
      <c r="F2" s="5">
        <v>19</v>
      </c>
      <c r="G2" s="5">
        <v>5</v>
      </c>
      <c r="H2" s="5" t="s">
        <v>134</v>
      </c>
      <c r="I2" s="5" t="s">
        <v>8</v>
      </c>
      <c r="J2" s="5">
        <v>75</v>
      </c>
      <c r="K2" s="5">
        <v>3</v>
      </c>
      <c r="L2" s="5"/>
      <c r="M2" s="5"/>
      <c r="N2" s="5"/>
      <c r="O2" s="6"/>
    </row>
    <row r="3" spans="1:15">
      <c r="A3" t="s">
        <v>9</v>
      </c>
      <c r="B3" t="s">
        <v>135</v>
      </c>
      <c r="C3">
        <v>183</v>
      </c>
      <c r="D3">
        <v>44</v>
      </c>
      <c r="E3">
        <v>22</v>
      </c>
      <c r="F3" s="6">
        <v>24</v>
      </c>
      <c r="G3" s="6">
        <v>22</v>
      </c>
      <c r="H3" s="6" t="s">
        <v>136</v>
      </c>
      <c r="I3" s="6" t="s">
        <v>12</v>
      </c>
      <c r="J3" s="6">
        <v>80</v>
      </c>
      <c r="K3" s="6">
        <v>2</v>
      </c>
      <c r="L3" s="6"/>
      <c r="M3" s="6"/>
      <c r="N3" s="6"/>
      <c r="O3" s="6"/>
    </row>
    <row r="4" spans="1:15">
      <c r="A4" t="s">
        <v>13</v>
      </c>
      <c r="B4" t="s">
        <v>133</v>
      </c>
      <c r="C4">
        <v>125</v>
      </c>
      <c r="D4">
        <v>62</v>
      </c>
      <c r="E4">
        <v>0</v>
      </c>
      <c r="F4">
        <v>24</v>
      </c>
      <c r="G4">
        <v>5</v>
      </c>
      <c r="H4" t="s">
        <v>137</v>
      </c>
      <c r="I4" t="s">
        <v>14</v>
      </c>
      <c r="J4">
        <v>88</v>
      </c>
      <c r="K4">
        <v>0</v>
      </c>
    </row>
    <row r="5" spans="1:15">
      <c r="A5" t="s">
        <v>15</v>
      </c>
      <c r="B5" t="s">
        <v>133</v>
      </c>
      <c r="C5">
        <v>151</v>
      </c>
      <c r="D5">
        <v>62</v>
      </c>
      <c r="E5">
        <v>5</v>
      </c>
      <c r="F5">
        <v>24</v>
      </c>
      <c r="G5">
        <v>20</v>
      </c>
      <c r="H5" t="s">
        <v>138</v>
      </c>
      <c r="I5" t="s">
        <v>16</v>
      </c>
      <c r="J5">
        <v>94</v>
      </c>
      <c r="K5">
        <v>0</v>
      </c>
    </row>
    <row r="6" spans="1:15">
      <c r="A6" t="s">
        <v>139</v>
      </c>
      <c r="B6" t="s">
        <v>140</v>
      </c>
      <c r="C6">
        <v>142</v>
      </c>
      <c r="D6">
        <v>20</v>
      </c>
      <c r="E6">
        <v>10</v>
      </c>
      <c r="F6">
        <v>25</v>
      </c>
      <c r="G6">
        <v>19</v>
      </c>
      <c r="H6" t="s">
        <v>141</v>
      </c>
      <c r="I6" t="s">
        <v>18</v>
      </c>
      <c r="J6">
        <v>0</v>
      </c>
      <c r="K6">
        <v>1</v>
      </c>
    </row>
    <row r="7" spans="1:15">
      <c r="A7" t="s">
        <v>142</v>
      </c>
      <c r="B7" t="s">
        <v>133</v>
      </c>
      <c r="C7">
        <v>139</v>
      </c>
      <c r="D7">
        <v>40</v>
      </c>
      <c r="E7">
        <v>15</v>
      </c>
      <c r="F7">
        <v>26</v>
      </c>
      <c r="G7">
        <v>19</v>
      </c>
      <c r="H7" t="s">
        <v>143</v>
      </c>
      <c r="I7" t="s">
        <v>144</v>
      </c>
      <c r="J7">
        <v>78</v>
      </c>
      <c r="K7">
        <v>1</v>
      </c>
    </row>
    <row r="8" spans="1:15">
      <c r="A8" t="s">
        <v>21</v>
      </c>
      <c r="B8" t="s">
        <v>135</v>
      </c>
      <c r="C8">
        <v>175</v>
      </c>
      <c r="D8">
        <v>73</v>
      </c>
      <c r="E8">
        <v>36</v>
      </c>
      <c r="F8">
        <v>29</v>
      </c>
      <c r="G8">
        <v>49</v>
      </c>
      <c r="H8" t="s">
        <v>145</v>
      </c>
      <c r="I8" t="s">
        <v>22</v>
      </c>
      <c r="J8">
        <v>85</v>
      </c>
      <c r="K8">
        <v>11</v>
      </c>
    </row>
    <row r="9" spans="1:15">
      <c r="A9" t="s">
        <v>23</v>
      </c>
      <c r="B9" t="s">
        <v>140</v>
      </c>
      <c r="C9">
        <v>80</v>
      </c>
      <c r="D9">
        <v>19</v>
      </c>
      <c r="E9">
        <v>0</v>
      </c>
      <c r="F9">
        <v>19</v>
      </c>
      <c r="G9">
        <v>2</v>
      </c>
      <c r="H9" t="s">
        <v>134</v>
      </c>
      <c r="I9" t="s">
        <v>146</v>
      </c>
      <c r="J9">
        <v>100</v>
      </c>
      <c r="K9">
        <v>0</v>
      </c>
    </row>
    <row r="10" spans="1:15">
      <c r="A10" t="s">
        <v>25</v>
      </c>
      <c r="B10" t="s">
        <v>135</v>
      </c>
      <c r="C10">
        <v>194</v>
      </c>
      <c r="D10">
        <v>85</v>
      </c>
      <c r="E10">
        <v>40</v>
      </c>
      <c r="F10">
        <v>25</v>
      </c>
      <c r="G10">
        <v>53</v>
      </c>
      <c r="H10" t="s">
        <v>147</v>
      </c>
      <c r="I10" t="s">
        <v>26</v>
      </c>
      <c r="J10">
        <v>82</v>
      </c>
      <c r="K10">
        <v>6</v>
      </c>
    </row>
    <row r="11" spans="1:15">
      <c r="A11" t="s">
        <v>80</v>
      </c>
      <c r="B11" t="s">
        <v>135</v>
      </c>
      <c r="C11">
        <v>55</v>
      </c>
      <c r="D11">
        <v>29</v>
      </c>
      <c r="E11">
        <v>134</v>
      </c>
      <c r="F11">
        <v>34</v>
      </c>
      <c r="G11">
        <v>18</v>
      </c>
      <c r="H11" t="s">
        <v>148</v>
      </c>
      <c r="I11" t="s">
        <v>149</v>
      </c>
      <c r="J11">
        <v>91</v>
      </c>
      <c r="K11">
        <v>79</v>
      </c>
    </row>
    <row r="12" spans="1:15">
      <c r="A12" t="s">
        <v>82</v>
      </c>
      <c r="B12" t="s">
        <v>133</v>
      </c>
      <c r="C12">
        <v>127</v>
      </c>
      <c r="D12">
        <v>30</v>
      </c>
      <c r="E12">
        <v>48</v>
      </c>
      <c r="F12">
        <v>28</v>
      </c>
      <c r="G12">
        <v>13</v>
      </c>
      <c r="H12" t="s">
        <v>150</v>
      </c>
      <c r="I12" t="s">
        <v>83</v>
      </c>
      <c r="J12">
        <v>70</v>
      </c>
      <c r="K12">
        <v>20</v>
      </c>
    </row>
    <row r="13" spans="1:15">
      <c r="A13" t="s">
        <v>151</v>
      </c>
      <c r="B13" t="s">
        <v>140</v>
      </c>
      <c r="C13">
        <v>93</v>
      </c>
      <c r="D13">
        <v>26</v>
      </c>
      <c r="E13">
        <v>9</v>
      </c>
      <c r="F13">
        <v>18</v>
      </c>
      <c r="G13">
        <v>15</v>
      </c>
      <c r="H13" t="s">
        <v>152</v>
      </c>
      <c r="I13" t="s">
        <v>16</v>
      </c>
      <c r="J13">
        <v>90</v>
      </c>
      <c r="K13">
        <v>3</v>
      </c>
    </row>
    <row r="14" spans="1:15">
      <c r="A14" t="s">
        <v>85</v>
      </c>
      <c r="B14" t="s">
        <v>133</v>
      </c>
      <c r="C14">
        <v>85</v>
      </c>
      <c r="D14">
        <v>32</v>
      </c>
      <c r="E14">
        <v>0</v>
      </c>
      <c r="F14">
        <v>24</v>
      </c>
      <c r="G14">
        <v>11</v>
      </c>
      <c r="H14" t="s">
        <v>153</v>
      </c>
      <c r="I14" t="s">
        <v>44</v>
      </c>
      <c r="J14">
        <v>83</v>
      </c>
      <c r="K14">
        <v>0</v>
      </c>
    </row>
    <row r="15" spans="1:15">
      <c r="A15" t="s">
        <v>88</v>
      </c>
      <c r="B15" t="s">
        <v>140</v>
      </c>
      <c r="C15">
        <v>158</v>
      </c>
      <c r="D15">
        <v>33</v>
      </c>
      <c r="E15">
        <v>16</v>
      </c>
      <c r="F15">
        <v>26</v>
      </c>
      <c r="G15">
        <v>19</v>
      </c>
      <c r="H15" t="s">
        <v>154</v>
      </c>
      <c r="I15" t="s">
        <v>155</v>
      </c>
      <c r="J15">
        <v>100</v>
      </c>
      <c r="K15">
        <v>2</v>
      </c>
    </row>
    <row r="16" spans="1:15">
      <c r="A16" t="s">
        <v>90</v>
      </c>
      <c r="B16" t="s">
        <v>133</v>
      </c>
      <c r="C16">
        <v>88</v>
      </c>
      <c r="D16">
        <v>28</v>
      </c>
      <c r="E16">
        <v>5</v>
      </c>
      <c r="F16">
        <v>25</v>
      </c>
      <c r="G16">
        <v>10</v>
      </c>
      <c r="H16" t="s">
        <v>156</v>
      </c>
      <c r="I16" t="s">
        <v>157</v>
      </c>
      <c r="J16">
        <v>86</v>
      </c>
      <c r="K1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F1E5-13F1-40AA-88F0-CB78AE398D8E}">
  <dimension ref="A1:I5"/>
  <sheetViews>
    <sheetView tabSelected="1" workbookViewId="0">
      <selection activeCell="E5" sqref="E5"/>
    </sheetView>
  </sheetViews>
  <sheetFormatPr defaultRowHeight="15"/>
  <cols>
    <col min="1" max="1" width="12.85546875" customWidth="1"/>
    <col min="4" max="4" width="17" bestFit="1" customWidth="1"/>
    <col min="7" max="7" width="18.42578125" customWidth="1"/>
    <col min="8" max="8" width="12.42578125" bestFit="1" customWidth="1"/>
    <col min="9" max="9" width="12" customWidth="1"/>
  </cols>
  <sheetData>
    <row r="1" spans="1:9">
      <c r="A1" s="3" t="s">
        <v>0</v>
      </c>
      <c r="B1" s="3"/>
      <c r="C1" s="3" t="s">
        <v>115</v>
      </c>
      <c r="D1" s="3" t="s">
        <v>158</v>
      </c>
      <c r="E1" s="4" t="s">
        <v>102</v>
      </c>
      <c r="F1" s="3" t="s">
        <v>2</v>
      </c>
      <c r="G1" s="3" t="s">
        <v>159</v>
      </c>
      <c r="H1" s="4" t="s">
        <v>160</v>
      </c>
      <c r="I1" s="3" t="s">
        <v>4</v>
      </c>
    </row>
    <row r="2" spans="1:9">
      <c r="A2" t="s">
        <v>53</v>
      </c>
      <c r="C2">
        <v>139</v>
      </c>
      <c r="D2">
        <v>11</v>
      </c>
      <c r="E2">
        <v>1</v>
      </c>
      <c r="F2">
        <v>27</v>
      </c>
      <c r="G2">
        <v>46</v>
      </c>
      <c r="H2" t="s">
        <v>148</v>
      </c>
      <c r="I2" t="s">
        <v>55</v>
      </c>
    </row>
    <row r="3" spans="1:9">
      <c r="A3" t="s">
        <v>56</v>
      </c>
      <c r="C3">
        <v>168</v>
      </c>
      <c r="D3">
        <v>3</v>
      </c>
      <c r="E3">
        <v>6</v>
      </c>
      <c r="F3">
        <v>26</v>
      </c>
      <c r="G3">
        <v>61</v>
      </c>
      <c r="H3" t="s">
        <v>161</v>
      </c>
      <c r="I3" t="s">
        <v>57</v>
      </c>
    </row>
    <row r="4" spans="1:9" ht="15.75">
      <c r="A4" t="s">
        <v>58</v>
      </c>
      <c r="C4">
        <v>191</v>
      </c>
      <c r="D4">
        <v>2</v>
      </c>
      <c r="E4">
        <v>32</v>
      </c>
      <c r="F4">
        <v>32</v>
      </c>
      <c r="G4">
        <v>87</v>
      </c>
      <c r="H4" t="s">
        <v>136</v>
      </c>
      <c r="I4" s="12" t="s">
        <v>59</v>
      </c>
    </row>
    <row r="5" spans="1:9">
      <c r="A5" t="s">
        <v>60</v>
      </c>
      <c r="C5">
        <v>182</v>
      </c>
      <c r="D5">
        <v>2</v>
      </c>
      <c r="E5">
        <v>75</v>
      </c>
      <c r="F5">
        <v>33</v>
      </c>
      <c r="G5">
        <v>76</v>
      </c>
      <c r="H5" t="s">
        <v>162</v>
      </c>
      <c r="I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2026-03-24T18:33:34Z</dcterms:created>
  <dcterms:modified xsi:type="dcterms:W3CDTF">2026-03-30T19:28:11Z</dcterms:modified>
  <cp:category/>
  <cp:contentStatus/>
</cp:coreProperties>
</file>